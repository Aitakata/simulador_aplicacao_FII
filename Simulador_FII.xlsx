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482" documentId="11_E60897F41BE170836B02CE998F75CCDC64E183C8" xr6:coauthVersionLast="47" xr6:coauthVersionMax="47" xr10:uidLastSave="{FECD6C26-9817-4FF6-8E01-82FD289A0D64}"/>
  <bookViews>
    <workbookView xWindow="240" yWindow="105" windowWidth="14805" windowHeight="8010" xr2:uid="{00000000-000D-0000-FFFF-FFFF00000000}"/>
  </bookViews>
  <sheets>
    <sheet name="Simulador" sheetId="1" r:id="rId1"/>
    <sheet name="tbl_apoio" sheetId="2" r:id="rId2"/>
  </sheets>
  <definedNames>
    <definedName name="Aporte">Simulador!$D$14:$D$14</definedName>
    <definedName name="Patrimonio">Simulador!$D$17:$D$17</definedName>
    <definedName name="Qtde_anos">Simulador!$D$15:$D$15</definedName>
    <definedName name="Rendimento_carteira" comment="Rendimento">Simulador!$D$10:$D$10</definedName>
    <definedName name="Sugestao_investimento">Simulador!$D$11:$D$11</definedName>
    <definedName name="Taxa_mensal">Simulador!$D$16:$D$16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4" i="1" l="1"/>
  <c r="C35" i="1"/>
  <c r="C36" i="1"/>
  <c r="C37" i="1"/>
  <c r="C38" i="1"/>
  <c r="C33" i="1"/>
  <c r="B20" i="2"/>
  <c r="B19" i="2"/>
  <c r="B18" i="2"/>
  <c r="B17" i="2"/>
  <c r="B16" i="2"/>
  <c r="B15" i="2"/>
  <c r="B14" i="2"/>
  <c r="B13" i="2"/>
  <c r="B12" i="2"/>
  <c r="B11" i="2"/>
  <c r="B10" i="2"/>
  <c r="B9" i="2"/>
  <c r="B4" i="2"/>
  <c r="B5" i="2"/>
  <c r="B6" i="2"/>
  <c r="B7" i="2"/>
  <c r="B8" i="2"/>
  <c r="B3" i="2"/>
  <c r="C30" i="1" a="1"/>
  <c r="D17" i="1" a="1"/>
  <c r="D18" i="1" s="1" a="1"/>
  <c r="D11" i="1"/>
  <c r="C22" i="1"/>
  <c r="D22" i="1" s="1" a="1"/>
  <c r="C23" i="1"/>
  <c r="D23" i="1" s="1" a="1"/>
  <c r="C24" i="1"/>
  <c r="D24" i="1" s="1" a="1"/>
  <c r="C25" i="1"/>
  <c r="D25" i="1" s="1" a="1"/>
  <c r="C21" i="1"/>
  <c r="D21" i="1" s="1" a="1"/>
  <c r="D34" i="1" l="1"/>
  <c r="D35" i="1"/>
  <c r="D36" i="1"/>
  <c r="D37" i="1"/>
  <c r="D38" i="1"/>
  <c r="D33" i="1"/>
  <c r="D3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<sst xmlns="http://schemas.openxmlformats.org/spreadsheetml/2006/main" count="69" uniqueCount="33">
  <si>
    <t>Configurações</t>
  </si>
  <si>
    <t>Salário</t>
  </si>
  <si>
    <t>Rendimento da carteira</t>
  </si>
  <si>
    <t>Sugestões de investimento (30%)</t>
  </si>
  <si>
    <t>Investimento Mensal</t>
  </si>
  <si>
    <t>Quanto investir por mês? </t>
  </si>
  <si>
    <t>Por quantos anos? </t>
  </si>
  <si>
    <t>Taxa de rendimento mensal? </t>
  </si>
  <si>
    <t>Patrimônio acumulado? </t>
  </si>
  <si>
    <t>Dividendos mensais? </t>
  </si>
  <si>
    <t>Cenários</t>
  </si>
  <si>
    <t>Dividendos</t>
  </si>
  <si>
    <t>Quanto em 2 anos?</t>
  </si>
  <si>
    <t>Quanto em 5 anos?</t>
  </si>
  <si>
    <t>Quanto em 10 anos?</t>
  </si>
  <si>
    <t>Quanto em 20 anos?</t>
  </si>
  <si>
    <t>Quanto em 30 anos?</t>
  </si>
  <si>
    <t>Perfil</t>
  </si>
  <si>
    <t>Agressivo</t>
  </si>
  <si>
    <t>Valor a ser investido por mês</t>
  </si>
  <si>
    <t>Tipos de FIIs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</si>
  <si>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</si>
  <si>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</si>
  <si>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</si>
  <si>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</si>
  <si>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</si>
  <si>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</si>
  <si>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</si>
  <si>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</t>
  </si>
  <si>
    <t>Chave composta</t>
  </si>
  <si>
    <t>%</t>
  </si>
  <si>
    <t>Conservador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</si>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</sst>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Segoe UI"/>
    </font>
    <font>
      <b/>
      <sz val="11"/>
      <color theme="1"/>
      <name val="Segoe UI"/>
    </font>
    <font>
      <b/>
      <sz val="13"/>
      <color rgb="FF000000"/>
      <name val="Segoe UI"/>
    </font>
    <font>
      <b/>
      <sz val="12"/>
      <name val="Segoe UI"/>
    </font>
    <font>
      <sz val="20"/>
      <color theme="2" tint="-0.499984740745262"/>
      <name val="Segoe UI Semibold"/>
    </font>
    <font>
      <sz val="20"/>
      <color theme="2"/>
      <name val="Segoe UI Semibold"/>
    </font>
    <font>
      <sz val="14"/>
      <color theme="2"/>
      <name val="Segoe UI Semibold"/>
    </font>
    <font>
      <b/>
      <sz val="12"/>
      <color theme="2" tint="-0.499984740745262"/>
      <name val="Segoe UI"/>
    </font>
    <font>
      <b/>
      <sz val="13"/>
      <color theme="2" tint="-0.499984740745262"/>
      <name val="Segoe UI"/>
    </font>
    <font>
      <sz val="11"/>
      <color rgb="FF9C5700"/>
      <name val="Calibri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8750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</patternFill>
    </fill>
    <fill>
      <patternFill patternType="solid">
        <fgColor theme="0" tint="-0.34998626667073579"/>
        <bgColor indexed="64"/>
      </patternFill>
    </fill>
  </fills>
  <borders count="3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rgb="FF000000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rgb="FF000000"/>
      </left>
      <right style="thin">
        <color theme="0" tint="-0.249977111117893"/>
      </right>
      <top style="thin">
        <color theme="0" tint="-0.249977111117893"/>
      </top>
      <bottom style="medium">
        <color rgb="FF000000"/>
      </bottom>
      <diagonal/>
    </border>
    <border>
      <left style="thin">
        <color theme="0" tint="-0.249977111117893"/>
      </left>
      <right style="medium">
        <color rgb="FF000000"/>
      </right>
      <top style="thin">
        <color theme="0" tint="-0.249977111117893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 tint="-0.249977111117893"/>
      </right>
      <top style="medium">
        <color rgb="FF000000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rgb="FF000000"/>
      </top>
      <bottom/>
      <diagonal/>
    </border>
    <border>
      <left style="thin">
        <color theme="0" tint="-0.249977111117893"/>
      </left>
      <right style="medium">
        <color rgb="FF000000"/>
      </right>
      <top style="medium">
        <color rgb="FF000000"/>
      </top>
      <bottom/>
      <diagonal/>
    </border>
    <border>
      <left style="thin">
        <color theme="0" tint="-0.249977111117893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rgb="FF000000"/>
      </left>
      <right style="thin">
        <color theme="0" tint="-0.249977111117893"/>
      </right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n">
        <color theme="0" tint="-0.249977111117893"/>
      </bottom>
      <diagonal/>
    </border>
    <border>
      <left style="medium">
        <color rgb="FF000000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medium">
        <color rgb="FF000000"/>
      </bottom>
      <diagonal/>
    </border>
    <border>
      <left/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1" fillId="6" borderId="0" applyNumberFormat="0" applyBorder="0" applyAlignment="0" applyProtection="0"/>
  </cellStyleXfs>
  <cellXfs count="56">
    <xf numFmtId="0" fontId="0" fillId="0" borderId="0" xfId="0"/>
    <xf numFmtId="0" fontId="1" fillId="0" borderId="0" xfId="0" applyFont="1"/>
    <xf numFmtId="164" fontId="3" fillId="0" borderId="26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10" fontId="3" fillId="0" borderId="11" xfId="0" applyNumberFormat="1" applyFont="1" applyBorder="1" applyAlignment="1">
      <alignment horizontal="center"/>
    </xf>
    <xf numFmtId="164" fontId="2" fillId="0" borderId="11" xfId="0" applyNumberFormat="1" applyFont="1" applyBorder="1" applyAlignment="1">
      <alignment horizontal="center"/>
    </xf>
    <xf numFmtId="10" fontId="2" fillId="0" borderId="11" xfId="0" applyNumberFormat="1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8" fillId="2" borderId="17" xfId="0" applyFont="1" applyFill="1" applyBorder="1" applyAlignment="1">
      <alignment horizontal="left" vertical="center"/>
    </xf>
    <xf numFmtId="0" fontId="9" fillId="4" borderId="20" xfId="0" applyFont="1" applyFill="1" applyBorder="1" applyAlignment="1">
      <alignment horizontal="left" indent="2"/>
    </xf>
    <xf numFmtId="0" fontId="9" fillId="4" borderId="22" xfId="0" applyFont="1" applyFill="1" applyBorder="1" applyAlignment="1">
      <alignment horizontal="left" indent="2"/>
    </xf>
    <xf numFmtId="0" fontId="9" fillId="4" borderId="2" xfId="0" applyFont="1" applyFill="1" applyBorder="1" applyAlignment="1">
      <alignment horizontal="left" indent="2"/>
    </xf>
    <xf numFmtId="0" fontId="9" fillId="4" borderId="4" xfId="0" applyFont="1" applyFill="1" applyBorder="1" applyAlignment="1">
      <alignment horizontal="left" indent="2"/>
    </xf>
    <xf numFmtId="8" fontId="3" fillId="5" borderId="11" xfId="0" applyNumberFormat="1" applyFont="1" applyFill="1" applyBorder="1" applyAlignment="1">
      <alignment horizontal="center"/>
    </xf>
    <xf numFmtId="8" fontId="3" fillId="5" borderId="14" xfId="0" applyNumberFormat="1" applyFont="1" applyFill="1" applyBorder="1" applyAlignment="1">
      <alignment horizontal="center"/>
    </xf>
    <xf numFmtId="8" fontId="2" fillId="4" borderId="18" xfId="0" applyNumberFormat="1" applyFont="1" applyFill="1" applyBorder="1" applyAlignment="1">
      <alignment horizontal="center"/>
    </xf>
    <xf numFmtId="8" fontId="2" fillId="4" borderId="21" xfId="0" applyNumberFormat="1" applyFont="1" applyFill="1" applyBorder="1" applyAlignment="1">
      <alignment horizontal="center"/>
    </xf>
    <xf numFmtId="8" fontId="2" fillId="4" borderId="19" xfId="0" applyNumberFormat="1" applyFont="1" applyFill="1" applyBorder="1" applyAlignment="1">
      <alignment horizontal="center"/>
    </xf>
    <xf numFmtId="8" fontId="2" fillId="4" borderId="3" xfId="0" applyNumberFormat="1" applyFont="1" applyFill="1" applyBorder="1" applyAlignment="1">
      <alignment horizontal="center"/>
    </xf>
    <xf numFmtId="8" fontId="2" fillId="4" borderId="1" xfId="0" applyNumberFormat="1" applyFont="1" applyFill="1" applyBorder="1" applyAlignment="1">
      <alignment horizontal="center"/>
    </xf>
    <xf numFmtId="8" fontId="2" fillId="4" borderId="23" xfId="0" applyNumberFormat="1" applyFont="1" applyFill="1" applyBorder="1" applyAlignment="1">
      <alignment horizontal="center"/>
    </xf>
    <xf numFmtId="8" fontId="2" fillId="4" borderId="5" xfId="0" applyNumberFormat="1" applyFont="1" applyFill="1" applyBorder="1" applyAlignment="1">
      <alignment horizontal="center"/>
    </xf>
    <xf numFmtId="0" fontId="11" fillId="6" borderId="0" xfId="1"/>
    <xf numFmtId="164" fontId="0" fillId="0" borderId="0" xfId="0" applyNumberFormat="1"/>
    <xf numFmtId="0" fontId="0" fillId="4" borderId="0" xfId="0" applyFill="1"/>
    <xf numFmtId="9" fontId="0" fillId="0" borderId="0" xfId="0" applyNumberFormat="1"/>
    <xf numFmtId="0" fontId="0" fillId="7" borderId="0" xfId="0" applyFill="1"/>
    <xf numFmtId="0" fontId="7" fillId="2" borderId="15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left" indent="2"/>
    </xf>
    <xf numFmtId="0" fontId="9" fillId="4" borderId="6" xfId="0" applyFont="1" applyFill="1" applyBorder="1" applyAlignment="1">
      <alignment horizontal="left" indent="2"/>
    </xf>
    <xf numFmtId="0" fontId="9" fillId="4" borderId="12" xfId="0" applyFont="1" applyFill="1" applyBorder="1" applyAlignment="1">
      <alignment horizontal="left" indent="2"/>
    </xf>
    <xf numFmtId="0" fontId="9" fillId="4" borderId="13" xfId="0" applyFont="1" applyFill="1" applyBorder="1" applyAlignment="1">
      <alignment horizontal="left" indent="2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10" fillId="4" borderId="25" xfId="0" applyFont="1" applyFill="1" applyBorder="1" applyAlignment="1">
      <alignment horizontal="left" wrapText="1" indent="2"/>
    </xf>
    <xf numFmtId="0" fontId="10" fillId="4" borderId="24" xfId="0" applyFont="1" applyFill="1" applyBorder="1" applyAlignment="1">
      <alignment horizontal="left" wrapText="1" indent="2"/>
    </xf>
    <xf numFmtId="0" fontId="10" fillId="4" borderId="10" xfId="0" applyFont="1" applyFill="1" applyBorder="1" applyAlignment="1">
      <alignment horizontal="left" wrapText="1" indent="2"/>
    </xf>
    <xf numFmtId="0" fontId="10" fillId="4" borderId="6" xfId="0" applyFont="1" applyFill="1" applyBorder="1" applyAlignment="1">
      <alignment horizontal="left" wrapText="1" indent="2"/>
    </xf>
    <xf numFmtId="0" fontId="4" fillId="5" borderId="10" xfId="0" applyFont="1" applyFill="1" applyBorder="1" applyAlignment="1">
      <alignment horizontal="left" wrapText="1" indent="2"/>
    </xf>
    <xf numFmtId="0" fontId="4" fillId="5" borderId="6" xfId="0" applyFont="1" applyFill="1" applyBorder="1" applyAlignment="1">
      <alignment horizontal="left" wrapText="1" indent="2"/>
    </xf>
    <xf numFmtId="0" fontId="5" fillId="5" borderId="27" xfId="0" applyFont="1" applyFill="1" applyBorder="1" applyAlignment="1">
      <alignment horizontal="left" wrapText="1" indent="2"/>
    </xf>
    <xf numFmtId="0" fontId="5" fillId="5" borderId="28" xfId="0" applyFont="1" applyFill="1" applyBorder="1" applyAlignment="1">
      <alignment horizontal="left" wrapText="1" indent="2"/>
    </xf>
    <xf numFmtId="0" fontId="0" fillId="0" borderId="29" xfId="0" applyBorder="1"/>
    <xf numFmtId="0" fontId="0" fillId="7" borderId="0" xfId="0" applyFill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29" xfId="0" applyNumberFormat="1" applyBorder="1" applyAlignment="1">
      <alignment horizontal="center"/>
    </xf>
    <xf numFmtId="0" fontId="11" fillId="6" borderId="0" xfId="1" applyAlignment="1">
      <alignment horizontal="center"/>
    </xf>
    <xf numFmtId="164" fontId="0" fillId="4" borderId="0" xfId="0" applyNumberFormat="1" applyFill="1" applyAlignment="1">
      <alignment horizontal="center"/>
    </xf>
    <xf numFmtId="0" fontId="12" fillId="7" borderId="0" xfId="0" applyFont="1" applyFill="1"/>
    <xf numFmtId="164" fontId="12" fillId="7" borderId="0" xfId="0" applyNumberFormat="1" applyFont="1" applyFill="1"/>
    <xf numFmtId="0" fontId="12" fillId="7" borderId="0" xfId="0" applyFont="1" applyFill="1" applyAlignment="1">
      <alignment horizontal="right"/>
    </xf>
  </cellXfs>
  <cellStyles count="2">
    <cellStyle name="Neutro" xfId="1" builtinId="28"/>
    <cellStyle name="Normal" xfId="0" builtinId="0"/>
  </cellStyles>
  <dxfs count="0"/>
  <tableStyles count="0" defaultTableStyle="TableStyleMedium2" defaultPivotStyle="PivotStyleMedium9"/>
  <colors>
    <mruColors>
      <color rgb="FFDBAA16"/>
      <color rgb="FF38750F"/>
      <color rgb="FF5685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Simulador!$C$32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Simulador!$B$33:$B$38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Simulador!$C$33:$C$38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80-4644-8A89-0F069614F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4</xdr:col>
      <xdr:colOff>28575</xdr:colOff>
      <xdr:row>5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6C104B4-DCBF-4ADE-8CF0-5A1A07A93571}"/>
            </a:ext>
            <a:ext uri="{147F2762-F138-4A5C-976F-8EAC2B608ADB}">
              <a16:predDERef xmlns:a16="http://schemas.microsoft.com/office/drawing/2014/main" pred="{A1517F7A-4CF5-F690-7CEA-164C68E75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0"/>
          <a:ext cx="5305425" cy="1076325"/>
        </a:xfrm>
        <a:prstGeom prst="rect">
          <a:avLst/>
        </a:prstGeom>
      </xdr:spPr>
    </xdr:pic>
    <xdr:clientData/>
  </xdr:twoCellAnchor>
  <xdr:twoCellAnchor>
    <xdr:from>
      <xdr:col>0</xdr:col>
      <xdr:colOff>304800</xdr:colOff>
      <xdr:row>39</xdr:row>
      <xdr:rowOff>152400</xdr:rowOff>
    </xdr:from>
    <xdr:to>
      <xdr:col>3</xdr:col>
      <xdr:colOff>28575</xdr:colOff>
      <xdr:row>54</xdr:row>
      <xdr:rowOff>133350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DB6D8E0-C26E-D922-FEB4-8ACDF6D89A55}"/>
            </a:ext>
            <a:ext uri="{147F2762-F138-4A5C-976F-8EAC2B608ADB}">
              <a16:predDERef xmlns:a16="http://schemas.microsoft.com/office/drawing/2014/main" pred="{F6C104B4-DCBF-4ADE-8CF0-5A1A07A935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J39"/>
  <sheetViews>
    <sheetView showGridLines="0" tabSelected="1" topLeftCell="A31" workbookViewId="0">
      <selection activeCell="B36" sqref="B36"/>
    </sheetView>
  </sheetViews>
  <sheetFormatPr defaultColWidth="0" defaultRowHeight="15"/>
  <cols>
    <col min="1" max="1" width="4.7109375" customWidth="1"/>
    <col min="2" max="2" width="44.85546875" customWidth="1"/>
    <col min="3" max="3" width="19.28515625" customWidth="1"/>
    <col min="4" max="4" width="15.140625" customWidth="1"/>
    <col min="5" max="5" width="5.140625" customWidth="1"/>
    <col min="6" max="6" width="4" hidden="1" customWidth="1"/>
    <col min="7" max="7" width="2.7109375" hidden="1" customWidth="1"/>
    <col min="8" max="10" width="9.140625" hidden="1" customWidth="1"/>
    <col min="11" max="11" width="0" hidden="1" customWidth="1"/>
  </cols>
  <sheetData>
    <row r="8" spans="2:4" ht="30.75">
      <c r="B8" s="29" t="s">
        <v>0</v>
      </c>
      <c r="C8" s="30"/>
      <c r="D8" s="31"/>
    </row>
    <row r="9" spans="2:4" ht="17.25">
      <c r="B9" s="32" t="s">
        <v>1</v>
      </c>
      <c r="C9" s="33"/>
      <c r="D9" s="5">
        <v>2000</v>
      </c>
    </row>
    <row r="10" spans="2:4" ht="17.25">
      <c r="B10" s="32" t="s">
        <v>2</v>
      </c>
      <c r="C10" s="33"/>
      <c r="D10" s="6">
        <v>6.0000000000000001E-3</v>
      </c>
    </row>
    <row r="11" spans="2:4" ht="17.25">
      <c r="B11" s="34" t="s">
        <v>3</v>
      </c>
      <c r="C11" s="35"/>
      <c r="D11" s="7">
        <f>D9*30%</f>
        <v>600</v>
      </c>
    </row>
    <row r="13" spans="2:4" ht="34.5" customHeight="1">
      <c r="B13" s="36" t="s">
        <v>4</v>
      </c>
      <c r="C13" s="37"/>
      <c r="D13" s="38"/>
    </row>
    <row r="14" spans="2:4" ht="18.75" customHeight="1">
      <c r="B14" s="39" t="s">
        <v>5</v>
      </c>
      <c r="C14" s="40"/>
      <c r="D14" s="2">
        <v>200</v>
      </c>
    </row>
    <row r="15" spans="2:4" ht="18.75" customHeight="1">
      <c r="B15" s="41" t="s">
        <v>6</v>
      </c>
      <c r="C15" s="42"/>
      <c r="D15" s="3">
        <v>5</v>
      </c>
    </row>
    <row r="16" spans="2:4" ht="19.5" customHeight="1">
      <c r="B16" s="41" t="s">
        <v>7</v>
      </c>
      <c r="C16" s="42"/>
      <c r="D16" s="4">
        <v>1.0789999999999999E-2</v>
      </c>
    </row>
    <row r="17" spans="1:4" ht="20.25" customHeight="1">
      <c r="B17" s="43" t="s">
        <v>8</v>
      </c>
      <c r="C17" s="44"/>
      <c r="D17" s="13" cm="1">
        <f t="array" ref="D17">FV(Taxa_mensal,Qtde_anos*12,Aporte*(-1))</f>
        <v>16755.382799697527</v>
      </c>
    </row>
    <row r="18" spans="1:4" ht="18" customHeight="1">
      <c r="B18" s="45" t="s">
        <v>9</v>
      </c>
      <c r="C18" s="46"/>
      <c r="D18" s="14" cm="1">
        <f t="array" ref="D18">Patrimonio*Rendimento_carteira</f>
        <v>100.53229679818516</v>
      </c>
    </row>
    <row r="20" spans="1:4" ht="30.75">
      <c r="B20" s="27" t="s">
        <v>10</v>
      </c>
      <c r="C20" s="28"/>
      <c r="D20" s="8" t="s">
        <v>11</v>
      </c>
    </row>
    <row r="21" spans="1:4" ht="17.25">
      <c r="A21" s="1">
        <v>2</v>
      </c>
      <c r="B21" s="9" t="s">
        <v>12</v>
      </c>
      <c r="C21" s="15">
        <f>FV($D$16,$A21*12,$D$14*-1)</f>
        <v>5445.5254595290435</v>
      </c>
      <c r="D21" s="16" cm="1">
        <f t="array" ref="D21">C21*Rendimento_carteira</f>
        <v>32.673152757174265</v>
      </c>
    </row>
    <row r="22" spans="1:4" ht="17.25">
      <c r="A22" s="1">
        <v>5</v>
      </c>
      <c r="B22" s="10" t="s">
        <v>13</v>
      </c>
      <c r="C22" s="17">
        <f>FV($D$16,$A22*12,$D$14*-1)</f>
        <v>16755.382799697527</v>
      </c>
      <c r="D22" s="18" cm="1">
        <f t="array" ref="D22">C22*Rendimento_carteira</f>
        <v>100.53229679818516</v>
      </c>
    </row>
    <row r="23" spans="1:4" ht="17.25">
      <c r="A23" s="1">
        <v>10</v>
      </c>
      <c r="B23" s="11" t="s">
        <v>14</v>
      </c>
      <c r="C23" s="19">
        <f>FV($D$16,$A23*12,$D$14*-1)</f>
        <v>48656.842506034438</v>
      </c>
      <c r="D23" s="18" cm="1">
        <f t="array" ref="D23">C23*Rendimento_carteira</f>
        <v>291.94105503620665</v>
      </c>
    </row>
    <row r="24" spans="1:4" ht="17.25">
      <c r="A24" s="1">
        <v>20</v>
      </c>
      <c r="B24" s="11" t="s">
        <v>15</v>
      </c>
      <c r="C24" s="19">
        <f>FV($D$16,$A24*12,$D$14*-1)</f>
        <v>225039.68001941612</v>
      </c>
      <c r="D24" s="18" cm="1">
        <f t="array" ref="D24">C24*Rendimento_carteira</f>
        <v>1350.2380801164968</v>
      </c>
    </row>
    <row r="25" spans="1:4" ht="17.25">
      <c r="A25" s="1">
        <v>30</v>
      </c>
      <c r="B25" s="12" t="s">
        <v>16</v>
      </c>
      <c r="C25" s="20">
        <f>FV($D$16,$A25*12,$D$14*-1)</f>
        <v>864433.93100094295</v>
      </c>
      <c r="D25" s="21" cm="1">
        <f t="array" ref="D25">C25*Rendimento_carteira</f>
        <v>5186.6035860056581</v>
      </c>
    </row>
    <row r="29" spans="1:4">
      <c r="B29" s="22" t="s">
        <v>17</v>
      </c>
      <c r="C29" s="51" t="s">
        <v>18</v>
      </c>
      <c r="D29" s="22"/>
    </row>
    <row r="30" spans="1:4">
      <c r="B30" s="24" t="s">
        <v>19</v>
      </c>
      <c r="C30" s="52" cm="1">
        <f t="array" ref="C30">Aporte</f>
        <v>200</v>
      </c>
      <c r="D30" s="24"/>
    </row>
    <row r="32" spans="1:4">
      <c r="B32" s="53" t="s">
        <v>20</v>
      </c>
      <c r="C32" s="53" t="s">
        <v>21</v>
      </c>
      <c r="D32" s="55" t="s">
        <v>22</v>
      </c>
    </row>
    <row r="33" spans="2:4">
      <c r="B33" t="s">
        <v>23</v>
      </c>
      <c r="C33" s="49">
        <f>VLOOKUP($C$29&amp;"-"&amp;B33,tbl_apoio!B:E,4,FALSE)</f>
        <v>0.5</v>
      </c>
      <c r="D33" s="23">
        <f>$C$30*C33</f>
        <v>100</v>
      </c>
    </row>
    <row r="34" spans="2:4">
      <c r="B34" t="s">
        <v>24</v>
      </c>
      <c r="C34" s="49">
        <f>VLOOKUP($C$29&amp;"-"&amp;B34,tbl_apoio!B:E,4,FALSE)</f>
        <v>0.1</v>
      </c>
      <c r="D34" s="23">
        <f t="shared" ref="D34:D38" si="0">$C$30*C34</f>
        <v>20</v>
      </c>
    </row>
    <row r="35" spans="2:4">
      <c r="B35" t="s">
        <v>25</v>
      </c>
      <c r="C35" s="49">
        <f>VLOOKUP($C$29&amp;"-"&amp;B35,tbl_apoio!B:E,4,FALSE)</f>
        <v>0.05</v>
      </c>
      <c r="D35" s="23">
        <f t="shared" si="0"/>
        <v>10</v>
      </c>
    </row>
    <row r="36" spans="2:4">
      <c r="B36" t="s">
        <v>26</v>
      </c>
      <c r="C36" s="49">
        <f>VLOOKUP($C$29&amp;"-"&amp;B36,tbl_apoio!B:E,4,FALSE)</f>
        <v>0.05</v>
      </c>
      <c r="D36" s="23">
        <f t="shared" si="0"/>
        <v>10</v>
      </c>
    </row>
    <row r="37" spans="2:4">
      <c r="B37" t="s">
        <v>27</v>
      </c>
      <c r="C37" s="49">
        <f>VLOOKUP($C$29&amp;"-"&amp;B37,tbl_apoio!B:E,4,FALSE)</f>
        <v>0.2</v>
      </c>
      <c r="D37" s="23">
        <f t="shared" si="0"/>
        <v>40</v>
      </c>
    </row>
    <row r="38" spans="2:4">
      <c r="B38" t="s">
        <v>28</v>
      </c>
      <c r="C38" s="49">
        <f>VLOOKUP($C$29&amp;"-"&amp;B38,tbl_apoio!B:E,4,FALSE)</f>
        <v>0.1</v>
      </c>
      <c r="D38" s="23">
        <f t="shared" si="0"/>
        <v>20</v>
      </c>
    </row>
    <row r="39" spans="2:4">
      <c r="B39" s="26"/>
      <c r="C39" s="26"/>
      <c r="D39" s="54">
        <f>SUM(D33:D38)</f>
        <v>200</v>
      </c>
    </row>
  </sheetData>
  <mergeCells count="11">
    <mergeCell ref="B20:C20"/>
    <mergeCell ref="B8:D8"/>
    <mergeCell ref="B9:C9"/>
    <mergeCell ref="B10:C10"/>
    <mergeCell ref="B11:C11"/>
    <mergeCell ref="B13:D13"/>
    <mergeCell ref="B14:C14"/>
    <mergeCell ref="B15:C15"/>
    <mergeCell ref="B16:C16"/>
    <mergeCell ref="B17:C17"/>
    <mergeCell ref="B18:C18"/>
  </mergeCells>
  <dataValidations count="1">
    <dataValidation type="list" allowBlank="1" showInputMessage="1" showErrorMessage="1" sqref="C29" xr:uid="{97C4B4C3-21A0-4DA9-8DCD-5CB28CF15F73}">
      <formula1>"Conservador, Moderado, 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CA3DE-2F74-4C4F-B4D3-58BF4436F1C2}">
  <dimension ref="B2:F20"/>
  <sheetViews>
    <sheetView workbookViewId="0">
      <selection activeCell="F14" sqref="F14"/>
    </sheetView>
  </sheetViews>
  <sheetFormatPr defaultRowHeight="15"/>
  <cols>
    <col min="2" max="2" width="28.5703125" bestFit="1" customWidth="1"/>
    <col min="3" max="3" width="12.140625" bestFit="1" customWidth="1"/>
    <col min="4" max="4" width="16.5703125" bestFit="1" customWidth="1"/>
    <col min="5" max="5" width="7" customWidth="1"/>
  </cols>
  <sheetData>
    <row r="2" spans="2:6">
      <c r="B2" s="26" t="s">
        <v>29</v>
      </c>
      <c r="C2" s="26" t="s">
        <v>17</v>
      </c>
      <c r="D2" s="26" t="s">
        <v>20</v>
      </c>
      <c r="E2" s="48" t="s">
        <v>30</v>
      </c>
    </row>
    <row r="3" spans="2:6">
      <c r="B3" t="str">
        <f>C3&amp;"-"&amp;D3</f>
        <v>Conservador-Papel</v>
      </c>
      <c r="C3" t="s">
        <v>31</v>
      </c>
      <c r="D3" t="s">
        <v>23</v>
      </c>
      <c r="E3" s="49">
        <v>0.3</v>
      </c>
    </row>
    <row r="4" spans="2:6">
      <c r="B4" t="str">
        <f t="shared" ref="B4:B20" si="0">C4&amp;"-"&amp;D4</f>
        <v>Conservador-Tijolo</v>
      </c>
      <c r="C4" t="s">
        <v>31</v>
      </c>
      <c r="D4" t="s">
        <v>24</v>
      </c>
      <c r="E4" s="49">
        <v>0.5</v>
      </c>
    </row>
    <row r="5" spans="2:6">
      <c r="B5" t="str">
        <f t="shared" si="0"/>
        <v>Conservador-Híbridos</v>
      </c>
      <c r="C5" t="s">
        <v>31</v>
      </c>
      <c r="D5" t="s">
        <v>25</v>
      </c>
      <c r="E5" s="49">
        <v>0.1</v>
      </c>
    </row>
    <row r="6" spans="2:6">
      <c r="B6" t="str">
        <f t="shared" si="0"/>
        <v>Conservador-FOFs</v>
      </c>
      <c r="C6" t="s">
        <v>31</v>
      </c>
      <c r="D6" t="s">
        <v>26</v>
      </c>
      <c r="E6" s="49">
        <v>0.1</v>
      </c>
    </row>
    <row r="7" spans="2:6">
      <c r="B7" t="str">
        <f t="shared" si="0"/>
        <v>Conservador-Desenvolvimento</v>
      </c>
      <c r="C7" t="s">
        <v>31</v>
      </c>
      <c r="D7" t="s">
        <v>27</v>
      </c>
      <c r="E7" s="49">
        <v>0</v>
      </c>
    </row>
    <row r="8" spans="2:6">
      <c r="B8" s="47" t="str">
        <f t="shared" si="0"/>
        <v>Conservador-Hotelaria</v>
      </c>
      <c r="C8" s="47" t="s">
        <v>31</v>
      </c>
      <c r="D8" s="47" t="s">
        <v>28</v>
      </c>
      <c r="E8" s="50">
        <v>0</v>
      </c>
    </row>
    <row r="9" spans="2:6">
      <c r="B9" t="str">
        <f>C9&amp;"-"&amp;D9</f>
        <v>Moderado-Papel</v>
      </c>
      <c r="C9" t="s">
        <v>32</v>
      </c>
      <c r="D9" t="s">
        <v>23</v>
      </c>
      <c r="E9" s="49">
        <v>0.32</v>
      </c>
    </row>
    <row r="10" spans="2:6">
      <c r="B10" t="str">
        <f t="shared" si="0"/>
        <v>Moderado-Tijolo</v>
      </c>
      <c r="C10" t="s">
        <v>32</v>
      </c>
      <c r="D10" t="s">
        <v>24</v>
      </c>
      <c r="E10" s="49">
        <v>0.35</v>
      </c>
    </row>
    <row r="11" spans="2:6">
      <c r="B11" t="str">
        <f t="shared" si="0"/>
        <v>Moderado-Híbridos</v>
      </c>
      <c r="C11" t="s">
        <v>32</v>
      </c>
      <c r="D11" t="s">
        <v>25</v>
      </c>
      <c r="E11" s="49">
        <v>0.08</v>
      </c>
    </row>
    <row r="12" spans="2:6">
      <c r="B12" t="str">
        <f t="shared" si="0"/>
        <v>Moderado-FOFs</v>
      </c>
      <c r="C12" t="s">
        <v>32</v>
      </c>
      <c r="D12" t="s">
        <v>26</v>
      </c>
      <c r="E12" s="49">
        <v>0.05</v>
      </c>
    </row>
    <row r="13" spans="2:6">
      <c r="B13" t="str">
        <f t="shared" si="0"/>
        <v>Moderado-Desenvolvimento</v>
      </c>
      <c r="C13" t="s">
        <v>32</v>
      </c>
      <c r="D13" t="s">
        <v>27</v>
      </c>
      <c r="E13" s="49">
        <v>0.1</v>
      </c>
    </row>
    <row r="14" spans="2:6">
      <c r="B14" s="47" t="str">
        <f t="shared" si="0"/>
        <v>Moderado-Hotelaria</v>
      </c>
      <c r="C14" s="47" t="s">
        <v>32</v>
      </c>
      <c r="D14" s="47" t="s">
        <v>28</v>
      </c>
      <c r="E14" s="50">
        <v>0.1</v>
      </c>
      <c r="F14" s="25"/>
    </row>
    <row r="15" spans="2:6">
      <c r="B15" t="str">
        <f>C15&amp;"-"&amp;D15</f>
        <v>Agressivo-Papel</v>
      </c>
      <c r="C15" t="s">
        <v>18</v>
      </c>
      <c r="D15" t="s">
        <v>23</v>
      </c>
      <c r="E15" s="49">
        <v>0.5</v>
      </c>
    </row>
    <row r="16" spans="2:6">
      <c r="B16" t="str">
        <f t="shared" si="0"/>
        <v>Agressivo-Tijolo</v>
      </c>
      <c r="C16" t="s">
        <v>18</v>
      </c>
      <c r="D16" t="s">
        <v>24</v>
      </c>
      <c r="E16" s="49">
        <v>0.1</v>
      </c>
    </row>
    <row r="17" spans="2:6">
      <c r="B17" t="str">
        <f t="shared" si="0"/>
        <v>Agressivo-Híbridos</v>
      </c>
      <c r="C17" t="s">
        <v>18</v>
      </c>
      <c r="D17" t="s">
        <v>25</v>
      </c>
      <c r="E17" s="49">
        <v>0.05</v>
      </c>
    </row>
    <row r="18" spans="2:6">
      <c r="B18" t="str">
        <f t="shared" si="0"/>
        <v>Agressivo-FOFs</v>
      </c>
      <c r="C18" t="s">
        <v>18</v>
      </c>
      <c r="D18" t="s">
        <v>26</v>
      </c>
      <c r="E18" s="49">
        <v>0.05</v>
      </c>
    </row>
    <row r="19" spans="2:6">
      <c r="B19" t="str">
        <f t="shared" si="0"/>
        <v>Agressivo-Desenvolvimento</v>
      </c>
      <c r="C19" t="s">
        <v>18</v>
      </c>
      <c r="D19" t="s">
        <v>27</v>
      </c>
      <c r="E19" s="49">
        <v>0.2</v>
      </c>
    </row>
    <row r="20" spans="2:6">
      <c r="B20" s="47" t="str">
        <f t="shared" si="0"/>
        <v>Agressivo-Hotelaria</v>
      </c>
      <c r="C20" s="47" t="s">
        <v>18</v>
      </c>
      <c r="D20" s="47" t="s">
        <v>28</v>
      </c>
      <c r="E20" s="49">
        <v>0.1</v>
      </c>
      <c r="F20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ARTUR ISSAMU TAKATA</cp:lastModifiedBy>
  <cp:revision/>
  <dcterms:created xsi:type="dcterms:W3CDTF">2026-10-08T19:50:57Z</dcterms:created>
  <dcterms:modified xsi:type="dcterms:W3CDTF">2026-10-09T22:46:36Z</dcterms:modified>
  <cp:category/>
  <cp:contentStatus/>
</cp:coreProperties>
</file>